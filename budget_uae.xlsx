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يزانيه بحث عن عمل" sheetId="1" r:id="rId4"/>
    <sheet state="visible" name="ميزانيه سفر على عقد" sheetId="2" r:id="rId5"/>
    <sheet state="visible" name="الطعام الاسبوعى" sheetId="3" r:id="rId6"/>
    <sheet state="visible" name="الدخل المتوقيع" sheetId="4" r:id="rId7"/>
    <sheet state="visible" name="طلبات للشراء" sheetId="5" r:id="rId8"/>
  </sheets>
  <definedNames/>
  <calcPr/>
  <extLst>
    <ext uri="GoogleSheetsCustomDataVersion2">
      <go:sheetsCustomData xmlns:go="http://customooxmlschemas.google.com/" r:id="rId9" roundtripDataChecksum="w0TXHO74b2RJWEB1sMFNVJ2aZ3u26Pv/GwDmu3/SaJ8="/>
    </ext>
  </extLst>
</workbook>
</file>

<file path=xl/sharedStrings.xml><?xml version="1.0" encoding="utf-8"?>
<sst xmlns="http://schemas.openxmlformats.org/spreadsheetml/2006/main" count="127" uniqueCount="93">
  <si>
    <t>الفتره</t>
  </si>
  <si>
    <t>البند</t>
  </si>
  <si>
    <t>الجنيه لدرهم</t>
  </si>
  <si>
    <t>درهم لجنيه</t>
  </si>
  <si>
    <t>الدرهم لدولار</t>
  </si>
  <si>
    <t>الدولار لجنية</t>
  </si>
  <si>
    <t>تجهزيات اولية</t>
  </si>
  <si>
    <t>تذكرة الطيران ذهاب</t>
  </si>
  <si>
    <t>تذكرة الطيران ذهاب وعودة</t>
  </si>
  <si>
    <r>
      <rPr>
        <rFont val="Arial"/>
        <b/>
        <color theme="1"/>
        <sz val="11.0"/>
      </rPr>
      <t xml:space="preserve">الجنية </t>
    </r>
    <r>
      <rPr>
        <rFont val="Arial"/>
        <color theme="1"/>
        <sz val="11.0"/>
      </rPr>
      <t>/ دولار</t>
    </r>
  </si>
  <si>
    <r>
      <rPr>
        <rFont val="Arial"/>
        <b/>
        <color theme="1"/>
        <sz val="11.0"/>
      </rPr>
      <t xml:space="preserve">الجنية </t>
    </r>
    <r>
      <rPr>
        <rFont val="Arial"/>
        <color theme="1"/>
        <sz val="11.0"/>
      </rPr>
      <t>/ دولار</t>
    </r>
  </si>
  <si>
    <t>تأشيرة سياحية لشهرين</t>
  </si>
  <si>
    <t>اوارق (يتوثيق الشهاده +توسيق السفاره + اوراق جيش )</t>
  </si>
  <si>
    <t>اوارق</t>
  </si>
  <si>
    <t>جنية</t>
  </si>
  <si>
    <t xml:space="preserve">اول ما اوصل </t>
  </si>
  <si>
    <t>ملابس</t>
  </si>
  <si>
    <r>
      <rPr>
        <rFont val="Arial"/>
        <b/>
        <color theme="1"/>
      </rPr>
      <t xml:space="preserve">درهم </t>
    </r>
    <r>
      <rPr>
        <rFont val="Arial"/>
        <color theme="1"/>
      </rPr>
      <t>/ دولار</t>
    </r>
  </si>
  <si>
    <r>
      <rPr>
        <rFont val="Arial"/>
        <b/>
        <color theme="1"/>
      </rPr>
      <t xml:space="preserve">درهم </t>
    </r>
    <r>
      <rPr>
        <rFont val="Arial"/>
        <color theme="1"/>
      </rPr>
      <t>/ دولار</t>
    </r>
  </si>
  <si>
    <t>شريحه هاتف</t>
  </si>
  <si>
    <t>لتوثيق الداخلي:</t>
  </si>
  <si>
    <t>درهم</t>
  </si>
  <si>
    <t>مصريف شهرية</t>
  </si>
  <si>
    <t>محتاج تقريبا</t>
  </si>
  <si>
    <t>السعرات لكل 100 جم/بيضة</t>
  </si>
  <si>
    <t>سكن شهرين</t>
  </si>
  <si>
    <t>السعر لكل وحدة (درهم)</t>
  </si>
  <si>
    <t>سكن</t>
  </si>
  <si>
    <t>السعرات الإجمالية</t>
  </si>
  <si>
    <t>العدد</t>
  </si>
  <si>
    <t xml:space="preserve">الكمية </t>
  </si>
  <si>
    <t>التكلفة الإجمالية (درهم)</t>
  </si>
  <si>
    <t>الصنف</t>
  </si>
  <si>
    <t>ا</t>
  </si>
  <si>
    <r>
      <rPr>
        <rFont val="Arial"/>
        <b/>
        <color theme="1"/>
        <sz val="11.0"/>
      </rPr>
      <t xml:space="preserve">درهم </t>
    </r>
    <r>
      <rPr>
        <rFont val="Arial"/>
        <color theme="1"/>
        <sz val="11.0"/>
      </rPr>
      <t>/ دولار</t>
    </r>
  </si>
  <si>
    <r>
      <rPr>
        <rFont val="Arial"/>
        <b/>
        <color theme="1"/>
        <sz val="11.0"/>
      </rPr>
      <t xml:space="preserve">درهم </t>
    </r>
    <r>
      <rPr>
        <rFont val="Arial"/>
        <color theme="1"/>
        <sz val="11.0"/>
      </rPr>
      <t>/ دولار</t>
    </r>
  </si>
  <si>
    <t xml:space="preserve">الطعام </t>
  </si>
  <si>
    <t>جم</t>
  </si>
  <si>
    <t>الطعام شهر</t>
  </si>
  <si>
    <t>برامج واشتركات</t>
  </si>
  <si>
    <t>صدر دجاج</t>
  </si>
  <si>
    <t>انترنت 20 جيجا شهرين</t>
  </si>
  <si>
    <t>موصلات</t>
  </si>
  <si>
    <t>اللترا تيك</t>
  </si>
  <si>
    <t>سمك</t>
  </si>
  <si>
    <t>انترنت 20 جيجا شهرين اتصالات، منظفات، عوارض</t>
  </si>
  <si>
    <t>عدد</t>
  </si>
  <si>
    <t>خالد حلبى</t>
  </si>
  <si>
    <t>احتياطى</t>
  </si>
  <si>
    <t>مشتريات وطوارئ</t>
  </si>
  <si>
    <t>بيض</t>
  </si>
  <si>
    <t xml:space="preserve">محمد حلبي </t>
  </si>
  <si>
    <t>بطاطس</t>
  </si>
  <si>
    <t>المواصلات</t>
  </si>
  <si>
    <t>يحيي</t>
  </si>
  <si>
    <t>طماطم</t>
  </si>
  <si>
    <t>بصل</t>
  </si>
  <si>
    <t>تذكرة الطيران عودة</t>
  </si>
  <si>
    <t>فول</t>
  </si>
  <si>
    <t>مرتب متوقيع</t>
  </si>
  <si>
    <t>أرز</t>
  </si>
  <si>
    <t>يعني محتاج بسم الله الرحمن الرحيم باول شهرين</t>
  </si>
  <si>
    <t>مكرونة</t>
  </si>
  <si>
    <t>جبن</t>
  </si>
  <si>
    <t>يعني محتاج بسم الله الرحمن الرحيم قبل السفر</t>
  </si>
  <si>
    <t>الاجمالي</t>
  </si>
  <si>
    <t>خبز</t>
  </si>
  <si>
    <t>مل</t>
  </si>
  <si>
    <t>زيت زيتون</t>
  </si>
  <si>
    <t>1 يعني الشهرين الاولين + شهر كمان يعني 3 شهور وهكذا</t>
  </si>
  <si>
    <t>مصريف المعيشة لا تقل عن</t>
  </si>
  <si>
    <t>لو حاب تزود مده زودها من هنا     : &gt;</t>
  </si>
  <si>
    <t>فواكه</t>
  </si>
  <si>
    <t xml:space="preserve">شاي </t>
  </si>
  <si>
    <t>قهوه</t>
  </si>
  <si>
    <t>سكر</t>
  </si>
  <si>
    <t>بالحساب بنكي لإثبات القدرة المالية</t>
  </si>
  <si>
    <t>مياه</t>
  </si>
  <si>
    <t>1000 دولار</t>
  </si>
  <si>
    <t>اول شهر يكون العمل من المنزل بدوام كامل وتوفير الراتب 7500 بنهايه الشهر الاول أرسلوا لي عرض العمل الرسمي المسجل في الوزارة لكي أوقعه بمده تجربه 6 اشهر او بحد اقصي سنة في عقد العمل</t>
  </si>
  <si>
    <t>احمد عبد القادر</t>
  </si>
  <si>
    <t>التزم  انا بتكلف بمصريف الاداريه وتذكره السفر من راتبي</t>
  </si>
  <si>
    <t>لصالحهم</t>
  </si>
  <si>
    <t>لصاحلي</t>
  </si>
  <si>
    <t>توفير المبلغ الادايه للدوله لتثيق العقد الخاص بي</t>
  </si>
  <si>
    <t xml:space="preserve">GPU </t>
  </si>
  <si>
    <t>IPHON 1?</t>
  </si>
  <si>
    <t>MAK M1</t>
  </si>
  <si>
    <t>3D PRINTER</t>
  </si>
  <si>
    <t>هيكون معيا اثبات قدره ماليه</t>
  </si>
  <si>
    <t>توفير مبلغ التذكره الطيران</t>
  </si>
  <si>
    <t>معي مدخرات تكفي للعوده في اي وقت</t>
  </si>
  <si>
    <t>معي مصريف لين استلام اول مراتب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</si>
</sst>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3.0"/>
      <color theme="1"/>
      <name val="Calibri"/>
      <scheme val="minor"/>
    </font>
    <font>
      <sz val="12.0"/>
      <color rgb="FF999999"/>
      <name val="Calibri"/>
      <scheme val="minor"/>
    </font>
    <font>
      <b/>
      <sz val="14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999999"/>
      <name val="Arial"/>
    </font>
    <font>
      <sz val="11.0"/>
      <color rgb="FFB7B7B7"/>
      <name val="Arial"/>
    </font>
    <font>
      <color theme="1"/>
      <name val="Calibri"/>
      <scheme val="minor"/>
    </font>
    <font>
      <b/>
      <color theme="1"/>
      <name val="Calibri"/>
      <scheme val="minor"/>
    </font>
    <font>
      <sz val="9.0"/>
      <color theme="1"/>
      <name val="Calibri"/>
      <scheme val="minor"/>
    </font>
    <font>
      <color rgb="FFB7B7B7"/>
      <name val="Calibri"/>
      <scheme val="minor"/>
    </font>
    <font>
      <b/>
      <sz val="13.0"/>
      <color rgb="FFFFFFFF"/>
      <name val="Arial"/>
    </font>
    <font>
      <color rgb="FF999999"/>
      <name val="Calibri"/>
      <scheme val="minor"/>
    </font>
    <font>
      <color theme="1"/>
      <name val="Arial"/>
    </font>
    <font>
      <sz val="11.0"/>
      <color theme="1"/>
      <name val="Calibri"/>
    </font>
    <font>
      <b/>
      <sz val="13.0"/>
      <color theme="1"/>
      <name val="Calibri"/>
      <scheme val="minor"/>
    </font>
    <font>
      <sz val="13.0"/>
      <color theme="1"/>
      <name val="Calibri"/>
    </font>
    <font>
      <sz val="13.0"/>
      <color rgb="FF6D9EEB"/>
      <name val="Calibri"/>
      <scheme val="minor"/>
    </font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Calibri"/>
      <scheme val="minor"/>
    </font>
    <font>
      <sz val="18.0"/>
      <color theme="1"/>
      <name val="Calibri"/>
      <scheme val="minor"/>
    </font>
    <font/>
  </fonts>
  <fills count="2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</fills>
  <borders count="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right" readingOrder="0" vertical="bottom"/>
    </xf>
    <xf borderId="0" fillId="2" fontId="6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center" vertical="bottom"/>
    </xf>
    <xf borderId="0" fillId="7" fontId="5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right" vertical="bottom"/>
    </xf>
    <xf borderId="0" fillId="6" fontId="9" numFmtId="0" xfId="0" applyAlignment="1" applyFill="1" applyFont="1">
      <alignment horizontal="right" readingOrder="0"/>
    </xf>
    <xf borderId="0" fillId="2" fontId="6" numFmtId="0" xfId="0" applyAlignment="1" applyFill="1" applyFont="1">
      <alignment horizontal="center" readingOrder="0" vertical="bottom"/>
    </xf>
    <xf borderId="0" fillId="2" fontId="10" numFmtId="0" xfId="0" applyAlignment="1" applyFill="1" applyFont="1">
      <alignment horizontal="center" readingOrder="0"/>
    </xf>
    <xf borderId="0" fillId="0" fontId="11" numFmtId="0" xfId="0" applyAlignment="1" applyFont="1">
      <alignment readingOrder="0" vertical="center"/>
    </xf>
    <xf borderId="0" fillId="0" fontId="9" numFmtId="0" xfId="0" applyAlignment="1" applyFont="1">
      <alignment horizontal="center"/>
    </xf>
    <xf borderId="0" fillId="0" fontId="12" numFmtId="0" xfId="0" applyFont="1"/>
    <xf borderId="0" fillId="8" fontId="13" numFmtId="0" xfId="0" applyAlignment="1" applyFill="1" applyFont="1">
      <alignment horizontal="center" readingOrder="0" vertical="center"/>
    </xf>
    <xf borderId="0" fillId="9" fontId="9" numFmtId="0" xfId="0" applyAlignment="1" applyFill="1" applyFont="1">
      <alignment horizontal="right" readingOrder="0"/>
    </xf>
    <xf borderId="0" fillId="2" fontId="14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4" fontId="9" numFmtId="0" xfId="0" applyAlignment="1" applyFill="1" applyFont="1">
      <alignment horizontal="center"/>
    </xf>
    <xf borderId="0" fillId="4" fontId="12" numFmtId="0" xfId="0" applyAlignment="1" applyFill="1" applyFont="1">
      <alignment horizontal="center"/>
    </xf>
    <xf borderId="0" fillId="7" fontId="15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/>
    </xf>
    <xf borderId="0" fillId="0" fontId="14" numFmtId="0" xfId="0" applyAlignment="1" applyFont="1">
      <alignment horizontal="right"/>
    </xf>
    <xf borderId="0" fillId="10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11" fontId="5" numFmtId="0" xfId="0" applyAlignment="1" applyFill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2" numFmtId="0" xfId="0" applyFont="1"/>
    <xf borderId="0" fillId="0" fontId="5" numFmtId="0" xfId="0" applyAlignment="1" applyFont="1">
      <alignment vertical="bottom"/>
    </xf>
    <xf borderId="0" fillId="7" fontId="16" numFmtId="0" xfId="0" applyAlignment="1" applyFill="1" applyFont="1">
      <alignment vertical="center"/>
    </xf>
    <xf borderId="0" fillId="0" fontId="16" numFmtId="0" xfId="0" applyAlignment="1" applyFont="1">
      <alignment readingOrder="0" vertical="center"/>
    </xf>
    <xf borderId="0" fillId="12" fontId="16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vertical="center"/>
    </xf>
    <xf borderId="0" fillId="4" fontId="16" numFmtId="0" xfId="0" applyAlignment="1" applyFill="1" applyFont="1">
      <alignment readingOrder="0" vertical="center"/>
    </xf>
    <xf borderId="0" fillId="3" fontId="2" numFmtId="0" xfId="0" applyAlignment="1" applyFill="1" applyFont="1">
      <alignment horizontal="center" vertical="center"/>
    </xf>
    <xf borderId="0" fillId="4" fontId="17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top"/>
    </xf>
    <xf borderId="0" fillId="2" fontId="17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13" fontId="4" numFmtId="0" xfId="0" applyAlignment="1" applyFill="1" applyFont="1">
      <alignment horizontal="center" readingOrder="0" vertical="center"/>
    </xf>
    <xf borderId="0" fillId="4" fontId="16" numFmtId="0" xfId="0" applyAlignment="1" applyFill="1" applyFont="1">
      <alignment vertical="center"/>
    </xf>
    <xf borderId="0" fillId="4" fontId="5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center" readingOrder="0" vertical="center"/>
    </xf>
    <xf borderId="0" fillId="12" fontId="16" numFmtId="0" xfId="0" applyAlignment="1" applyFill="1" applyFont="1">
      <alignment vertical="center"/>
    </xf>
    <xf borderId="0" fillId="3" fontId="17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/>
    </xf>
    <xf borderId="0" fillId="3" fontId="17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/>
    </xf>
    <xf borderId="0" fillId="0" fontId="18" numFmtId="0" xfId="0" applyAlignment="1" applyFont="1">
      <alignment horizontal="center" vertical="bottom"/>
    </xf>
    <xf borderId="0" fillId="14" fontId="19" numFmtId="0" xfId="0" applyAlignment="1" applyFill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15" fontId="2" numFmtId="0" xfId="0" applyAlignment="1" applyFill="1" applyFont="1">
      <alignment horizontal="center" vertical="center"/>
    </xf>
    <xf borderId="0" fillId="16" fontId="2" numFmtId="0" xfId="0" applyAlignment="1" applyFill="1" applyFon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5" numFmtId="0" xfId="0" applyAlignment="1" applyFill="1" applyFont="1">
      <alignment horizontal="center" vertical="bottom"/>
    </xf>
    <xf borderId="0" fillId="14" fontId="2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0" fillId="17" fontId="21" numFmtId="0" xfId="0" applyAlignment="1" applyFill="1" applyFont="1">
      <alignment horizontal="center" vertical="center"/>
    </xf>
    <xf borderId="0" fillId="0" fontId="9" numFmtId="0" xfId="0" applyFont="1"/>
    <xf borderId="0" fillId="0" fontId="5" numFmtId="0" xfId="0" applyAlignment="1" applyFont="1">
      <alignment readingOrder="0" vertical="bottom"/>
    </xf>
    <xf borderId="0" fillId="0" fontId="22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13" fontId="9" numFmtId="0" xfId="0" applyFill="1" applyFont="1"/>
    <xf borderId="0" fillId="0" fontId="9" numFmtId="0" xfId="0" applyFont="1"/>
    <xf borderId="0" fillId="8" fontId="9" numFmtId="0" xfId="0" applyFill="1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bottom"/>
    </xf>
    <xf borderId="0" fillId="0" fontId="23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2" fillId="0" fontId="24" numFmtId="0" xfId="0" applyBorder="1" applyFont="1"/>
    <xf borderId="3" fillId="0" fontId="24" numFmtId="0" xfId="0" applyBorder="1" applyFont="1"/>
    <xf borderId="1" fillId="0" fontId="9" numFmtId="0" xfId="0" applyAlignment="1" applyBorder="1" applyFont="1">
      <alignment readingOrder="0"/>
    </xf>
    <xf borderId="4" fillId="0" fontId="9" numFmtId="0" xfId="0" applyBorder="1" applyFont="1"/>
    <xf borderId="1" fillId="12" fontId="9" numFmtId="0" xfId="0" applyAlignment="1" applyBorder="1" applyFill="1" applyFont="1">
      <alignment horizontal="center" readingOrder="0"/>
    </xf>
    <xf borderId="5" fillId="17" fontId="9" numFmtId="0" xfId="0" applyAlignment="1" applyBorder="1" applyFill="1" applyFont="1">
      <alignment horizontal="center" readingOrder="0"/>
    </xf>
    <xf borderId="6" fillId="0" fontId="9" numFmtId="0" xfId="0" applyBorder="1" applyFont="1"/>
    <xf borderId="4" fillId="0" fontId="9" numFmtId="0" xfId="0" applyAlignment="1" applyBorder="1" applyFont="1">
      <alignment horizontal="left" readingOrder="0"/>
    </xf>
    <xf borderId="4" fillId="0" fontId="9" numFmtId="0" xfId="0" applyAlignment="1" applyBorder="1" applyFont="1">
      <alignment readingOrder="0"/>
    </xf>
    <xf borderId="1" fillId="0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71"/>
    <col customWidth="1" min="2" max="2" width="28.57"/>
    <col customWidth="1" min="7" max="7" width="6.0"/>
  </cols>
  <sheetData>
    <row r="1">
      <c r="A1" s="1" t="s">
        <v>0</v>
      </c>
      <c r="B1" s="1" t="s">
        <v>1</v>
      </c>
      <c r="C1" s="2" t="s">
        <v>2</v>
      </c>
      <c r="D1" s="3" t="s">
        <v>4</v>
      </c>
      <c r="E1" s="4" t="s">
        <v>5</v>
      </c>
      <c r="F1" s="1"/>
      <c r="G1" s="1"/>
    </row>
    <row r="2">
      <c r="A2" s="5"/>
      <c r="B2" s="5"/>
      <c r="C2" s="6">
        <v>13.62</v>
      </c>
      <c r="D2" s="7">
        <v>0.27</v>
      </c>
      <c r="E2" s="8">
        <v>50.0</v>
      </c>
      <c r="F2" s="5"/>
      <c r="G2" s="5"/>
    </row>
    <row r="3">
      <c r="A3" s="9" t="s">
        <v>6</v>
      </c>
      <c r="B3" s="10" t="s">
        <v>8</v>
      </c>
      <c r="C3" s="11">
        <v>15000.0</v>
      </c>
      <c r="D3" s="12">
        <f t="shared" ref="D3:D5" si="1">ROUND(C3/$C$2,0)</f>
        <v>1101</v>
      </c>
      <c r="E3" s="13">
        <f t="shared" ref="E3:E5" si="2">ROUND(C3/$E$2,0)</f>
        <v>300</v>
      </c>
      <c r="F3" s="15" t="s">
        <v>9</v>
      </c>
      <c r="G3" s="16"/>
    </row>
    <row r="4">
      <c r="B4" s="10" t="s">
        <v>11</v>
      </c>
      <c r="C4" s="18">
        <v>10000.0</v>
      </c>
      <c r="D4" s="12">
        <f t="shared" si="1"/>
        <v>734</v>
      </c>
      <c r="E4" s="13">
        <f t="shared" si="2"/>
        <v>200</v>
      </c>
      <c r="G4" s="16"/>
    </row>
    <row r="5">
      <c r="B5" s="17" t="s">
        <v>13</v>
      </c>
      <c r="C5" s="19">
        <v>5000.0</v>
      </c>
      <c r="D5" s="12">
        <f t="shared" si="1"/>
        <v>367</v>
      </c>
      <c r="E5" s="13">
        <f t="shared" si="2"/>
        <v>100</v>
      </c>
      <c r="G5" s="16"/>
    </row>
    <row r="6">
      <c r="A6" s="20" t="s">
        <v>14</v>
      </c>
      <c r="B6" s="21">
        <f>SUM(C3:C5)</f>
        <v>30000</v>
      </c>
    </row>
    <row r="7">
      <c r="A7" s="23" t="s">
        <v>15</v>
      </c>
      <c r="B7" s="24" t="s">
        <v>16</v>
      </c>
      <c r="C7" s="25">
        <f t="shared" ref="C7:C8" si="3">ROUND(D7*$C$2,0)</f>
        <v>1362</v>
      </c>
      <c r="D7" s="26">
        <v>100.0</v>
      </c>
      <c r="E7" s="27">
        <f t="shared" ref="E7:E8" si="4">ROUND(D7*$D$2,0)</f>
        <v>27</v>
      </c>
      <c r="F7" s="29" t="s">
        <v>17</v>
      </c>
    </row>
    <row r="8">
      <c r="B8" s="24" t="s">
        <v>19</v>
      </c>
      <c r="C8" s="25">
        <f t="shared" si="3"/>
        <v>681</v>
      </c>
      <c r="D8" s="30">
        <v>50.0</v>
      </c>
      <c r="E8" s="27">
        <f t="shared" si="4"/>
        <v>14</v>
      </c>
    </row>
    <row r="9">
      <c r="A9" s="20" t="s">
        <v>21</v>
      </c>
      <c r="B9" s="21">
        <f>SUM(D7:D8)</f>
        <v>150</v>
      </c>
      <c r="C9" s="31"/>
    </row>
    <row r="10">
      <c r="A10" s="32" t="s">
        <v>22</v>
      </c>
      <c r="B10" s="35" t="s">
        <v>25</v>
      </c>
      <c r="C10" s="25">
        <f t="shared" ref="C10:C13" si="5">ROUND(D10*$C$2,0)</f>
        <v>13620</v>
      </c>
      <c r="D10" s="40">
        <v>1000.0</v>
      </c>
      <c r="E10" s="27">
        <f t="shared" ref="E10:E13" si="6">ROUND(D10*$D$2,0)</f>
        <v>270</v>
      </c>
      <c r="F10" s="15" t="s">
        <v>35</v>
      </c>
      <c r="G10" s="43"/>
    </row>
    <row r="11">
      <c r="B11" s="35" t="s">
        <v>38</v>
      </c>
      <c r="C11" s="25">
        <f t="shared" si="5"/>
        <v>10215</v>
      </c>
      <c r="D11" s="40">
        <v>750.0</v>
      </c>
      <c r="E11" s="27">
        <f t="shared" si="6"/>
        <v>203</v>
      </c>
      <c r="G11" s="43"/>
    </row>
    <row r="12">
      <c r="B12" s="35" t="s">
        <v>39</v>
      </c>
      <c r="C12" s="25">
        <f t="shared" si="5"/>
        <v>681</v>
      </c>
      <c r="D12" s="40">
        <v>50.0</v>
      </c>
      <c r="E12" s="27">
        <f t="shared" si="6"/>
        <v>14</v>
      </c>
      <c r="G12" s="43"/>
    </row>
    <row r="13">
      <c r="B13" s="35" t="s">
        <v>41</v>
      </c>
      <c r="C13" s="25">
        <f t="shared" si="5"/>
        <v>4086</v>
      </c>
      <c r="D13" s="40">
        <v>300.0</v>
      </c>
      <c r="E13" s="27">
        <f t="shared" si="6"/>
        <v>81</v>
      </c>
      <c r="G13" s="43"/>
    </row>
    <row r="14">
      <c r="A14" s="20" t="s">
        <v>21</v>
      </c>
      <c r="B14" s="21">
        <f>SUM(D10:D13)</f>
        <v>2100</v>
      </c>
      <c r="C14" s="31"/>
      <c r="G14" s="21"/>
    </row>
    <row r="15">
      <c r="A15" s="54" t="s">
        <v>48</v>
      </c>
      <c r="B15" s="56" t="s">
        <v>49</v>
      </c>
      <c r="C15" s="25">
        <f t="shared" ref="C15:C16" si="7">ROUND(D15*$C$2,0)</f>
        <v>2724</v>
      </c>
      <c r="D15" s="40">
        <v>200.0</v>
      </c>
      <c r="E15" s="27">
        <f t="shared" ref="E15:E16" si="8">ROUND(D15*$D$2,0)</f>
        <v>54</v>
      </c>
      <c r="F15" s="43"/>
      <c r="G15" s="43"/>
    </row>
    <row r="16">
      <c r="B16" s="56" t="s">
        <v>53</v>
      </c>
      <c r="C16" s="25">
        <f t="shared" si="7"/>
        <v>2724</v>
      </c>
      <c r="D16" s="40">
        <v>200.0</v>
      </c>
      <c r="E16" s="27">
        <f t="shared" si="8"/>
        <v>54</v>
      </c>
      <c r="F16" s="43"/>
      <c r="G16" s="43"/>
    </row>
    <row r="17">
      <c r="A17" s="20" t="s">
        <v>21</v>
      </c>
      <c r="B17" s="21">
        <f>SUM(D15:D16)</f>
        <v>400</v>
      </c>
      <c r="C17" s="43"/>
      <c r="D17" s="43"/>
      <c r="E17" s="43"/>
      <c r="F17" s="43"/>
      <c r="G17" s="43"/>
    </row>
    <row r="18">
      <c r="A18" s="43"/>
      <c r="B18" s="43"/>
      <c r="C18" s="43"/>
      <c r="D18" s="43"/>
      <c r="E18" s="43"/>
      <c r="F18" s="43"/>
      <c r="G18" s="43"/>
    </row>
    <row r="19" ht="21.0" customHeight="1">
      <c r="A19" s="43"/>
      <c r="B19" s="43"/>
      <c r="C19" s="65" t="s">
        <v>61</v>
      </c>
      <c r="F19" s="43"/>
      <c r="G19" s="43"/>
    </row>
    <row r="20">
      <c r="A20" s="43"/>
      <c r="B20" s="43"/>
      <c r="C20" s="69">
        <f t="shared" ref="C20:E20" si="9">(SUM(C3:C17)+(SUM(C10:C16)))</f>
        <v>100143</v>
      </c>
      <c r="D20" s="71">
        <f t="shared" si="9"/>
        <v>7352</v>
      </c>
      <c r="E20" s="72">
        <f t="shared" si="9"/>
        <v>1993</v>
      </c>
      <c r="F20" s="43"/>
      <c r="G20" s="43"/>
    </row>
    <row r="21">
      <c r="A21" s="43"/>
      <c r="B21" s="43"/>
      <c r="C21" s="43"/>
      <c r="D21" s="43"/>
      <c r="E21" s="43"/>
      <c r="F21" s="43"/>
      <c r="G21" s="43"/>
    </row>
    <row r="22">
      <c r="A22" s="43"/>
      <c r="B22" s="75" t="s">
        <v>69</v>
      </c>
      <c r="C22" s="77">
        <v>1.0</v>
      </c>
      <c r="D22" s="78" t="s">
        <v>71</v>
      </c>
      <c r="F22" s="43"/>
      <c r="G22" s="43"/>
    </row>
    <row r="23">
      <c r="A23" s="43"/>
      <c r="B23" s="43"/>
      <c r="C23" s="69">
        <f>(C20+((SUM(C10:C16))*$C$22))+C4+C3</f>
        <v>159193</v>
      </c>
      <c r="D23" s="69">
        <f t="shared" ref="D23:E23" si="10">(D20+(SUM(D10:D16)*$C$22))</f>
        <v>9852</v>
      </c>
      <c r="E23" s="69">
        <f t="shared" si="10"/>
        <v>2669</v>
      </c>
      <c r="F23" s="43"/>
      <c r="G23" s="43"/>
    </row>
    <row r="24">
      <c r="A24" s="43"/>
      <c r="B24" s="43"/>
      <c r="C24" s="43"/>
      <c r="D24" s="43"/>
      <c r="E24" s="43"/>
      <c r="F24" s="43"/>
      <c r="G24" s="43"/>
    </row>
    <row r="25">
      <c r="A25" s="43"/>
      <c r="B25" s="85" t="s">
        <v>76</v>
      </c>
      <c r="C25" s="87" t="s">
        <v>78</v>
      </c>
      <c r="F25" s="43"/>
      <c r="G25" s="43"/>
    </row>
    <row r="26">
      <c r="A26" s="43"/>
    </row>
  </sheetData>
  <mergeCells count="10">
    <mergeCell ref="C19:E19"/>
    <mergeCell ref="D22:E22"/>
    <mergeCell ref="C25:E25"/>
    <mergeCell ref="A3:A5"/>
    <mergeCell ref="F3:F5"/>
    <mergeCell ref="A7:A8"/>
    <mergeCell ref="F7:F8"/>
    <mergeCell ref="A10:A13"/>
    <mergeCell ref="F10:F13"/>
    <mergeCell ref="A15:A16"/>
  </mergeCells>
  <dataValidations>
    <dataValidation type="list" allowBlank="1" showErrorMessage="1" sqref="C22">
      <formula1>"1,2,3,4"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71"/>
    <col customWidth="1" min="2" max="2" width="38.71"/>
    <col customWidth="1" min="7" max="7" width="6.0"/>
  </cols>
  <sheetData>
    <row r="1">
      <c r="A1" s="1" t="s">
        <v>0</v>
      </c>
      <c r="B1" s="1" t="s">
        <v>1</v>
      </c>
      <c r="C1" s="2" t="s">
        <v>3</v>
      </c>
      <c r="D1" s="3" t="s">
        <v>4</v>
      </c>
      <c r="E1" s="4" t="s">
        <v>5</v>
      </c>
      <c r="F1" s="1"/>
      <c r="G1" s="1"/>
    </row>
    <row r="2">
      <c r="A2" s="5"/>
      <c r="B2" s="5"/>
      <c r="C2" s="6">
        <v>13.51</v>
      </c>
      <c r="D2" s="7">
        <v>0.27</v>
      </c>
      <c r="E2" s="8">
        <v>49.63</v>
      </c>
      <c r="F2" s="5"/>
      <c r="G2" s="5"/>
    </row>
    <row r="3">
      <c r="A3" s="9" t="s">
        <v>6</v>
      </c>
      <c r="B3" s="10" t="s">
        <v>7</v>
      </c>
      <c r="C3" s="11">
        <v>15000.0</v>
      </c>
      <c r="D3" s="12">
        <f t="shared" ref="D3:D4" si="1">ROUND(C3/$C$2,0)</f>
        <v>1110</v>
      </c>
      <c r="E3" s="14">
        <f t="shared" ref="E3:E4" si="2">ROUND(C3/$E$2,0)</f>
        <v>302</v>
      </c>
      <c r="F3" s="15" t="s">
        <v>10</v>
      </c>
      <c r="G3" s="16"/>
    </row>
    <row r="4">
      <c r="B4" s="17" t="s">
        <v>12</v>
      </c>
      <c r="C4" s="19">
        <v>6000.0</v>
      </c>
      <c r="D4" s="12">
        <f t="shared" si="1"/>
        <v>444</v>
      </c>
      <c r="E4" s="14">
        <f t="shared" si="2"/>
        <v>121</v>
      </c>
      <c r="G4" s="16"/>
    </row>
    <row r="5">
      <c r="A5" s="20" t="s">
        <v>14</v>
      </c>
      <c r="B5" s="21">
        <f>SUM(C3:C4)</f>
        <v>21000</v>
      </c>
      <c r="E5" s="22"/>
    </row>
    <row r="6">
      <c r="A6" s="23" t="s">
        <v>15</v>
      </c>
      <c r="B6" s="24" t="s">
        <v>16</v>
      </c>
      <c r="C6" s="25">
        <f t="shared" ref="C6:C8" si="3">ROUND(D6*$C$2,0)</f>
        <v>1351</v>
      </c>
      <c r="D6" s="26">
        <v>100.0</v>
      </c>
      <c r="E6" s="28">
        <f t="shared" ref="E6:E8" si="4">ROUND(D6*$D$2,0)</f>
        <v>27</v>
      </c>
      <c r="F6" s="29" t="s">
        <v>18</v>
      </c>
    </row>
    <row r="7">
      <c r="B7" s="24" t="s">
        <v>19</v>
      </c>
      <c r="C7" s="25">
        <f t="shared" si="3"/>
        <v>676</v>
      </c>
      <c r="D7" s="30">
        <v>50.0</v>
      </c>
      <c r="E7" s="28">
        <f t="shared" si="4"/>
        <v>14</v>
      </c>
    </row>
    <row r="8">
      <c r="B8" s="24" t="s">
        <v>20</v>
      </c>
      <c r="C8" s="25">
        <f t="shared" si="3"/>
        <v>2027</v>
      </c>
      <c r="D8" s="26">
        <v>150.0</v>
      </c>
      <c r="E8" s="28">
        <f t="shared" si="4"/>
        <v>41</v>
      </c>
    </row>
    <row r="9">
      <c r="A9" s="20" t="s">
        <v>21</v>
      </c>
      <c r="B9" s="21">
        <f>SUM(D6:D8)</f>
        <v>300</v>
      </c>
      <c r="C9" s="31"/>
      <c r="E9" s="22"/>
    </row>
    <row r="10">
      <c r="A10" s="32" t="s">
        <v>22</v>
      </c>
      <c r="B10" s="35" t="s">
        <v>27</v>
      </c>
      <c r="C10" s="25">
        <f t="shared" ref="C10:C14" si="5">ROUND(D10*$C$2,0)</f>
        <v>24318</v>
      </c>
      <c r="D10" s="40">
        <v>1800.0</v>
      </c>
      <c r="E10" s="28">
        <f t="shared" ref="E10:E14" si="6">ROUND(D10*$D$2,0)</f>
        <v>486</v>
      </c>
      <c r="F10" s="15" t="s">
        <v>34</v>
      </c>
      <c r="G10" s="43"/>
    </row>
    <row r="11">
      <c r="B11" s="35" t="s">
        <v>36</v>
      </c>
      <c r="C11" s="25">
        <f t="shared" si="5"/>
        <v>20265</v>
      </c>
      <c r="D11" s="40">
        <v>1500.0</v>
      </c>
      <c r="E11" s="28">
        <f t="shared" si="6"/>
        <v>405</v>
      </c>
      <c r="G11" s="43"/>
    </row>
    <row r="12">
      <c r="B12" s="35" t="s">
        <v>39</v>
      </c>
      <c r="C12" s="25">
        <f t="shared" si="5"/>
        <v>676</v>
      </c>
      <c r="D12" s="40">
        <v>50.0</v>
      </c>
      <c r="E12" s="28">
        <f t="shared" si="6"/>
        <v>14</v>
      </c>
      <c r="G12" s="43"/>
    </row>
    <row r="13">
      <c r="B13" s="35" t="s">
        <v>42</v>
      </c>
      <c r="C13" s="25">
        <f t="shared" si="5"/>
        <v>4729</v>
      </c>
      <c r="D13" s="40">
        <v>350.0</v>
      </c>
      <c r="E13" s="28">
        <f t="shared" si="6"/>
        <v>95</v>
      </c>
      <c r="G13" s="43"/>
    </row>
    <row r="14">
      <c r="B14" s="35" t="s">
        <v>45</v>
      </c>
      <c r="C14" s="25">
        <f t="shared" si="5"/>
        <v>6755</v>
      </c>
      <c r="D14" s="40">
        <v>500.0</v>
      </c>
      <c r="E14" s="28">
        <f t="shared" si="6"/>
        <v>135</v>
      </c>
      <c r="G14" s="43"/>
    </row>
    <row r="15">
      <c r="A15" s="20" t="s">
        <v>21</v>
      </c>
      <c r="B15" s="21">
        <f>SUM(D10:D14)</f>
        <v>4200</v>
      </c>
      <c r="C15" s="31"/>
      <c r="E15" s="22"/>
      <c r="G15" s="21"/>
    </row>
    <row r="16">
      <c r="A16" s="54" t="s">
        <v>48</v>
      </c>
      <c r="B16" s="56" t="s">
        <v>49</v>
      </c>
      <c r="C16" s="25">
        <f t="shared" ref="C16:C17" si="7">ROUND(D16*$C$2,0)</f>
        <v>6755</v>
      </c>
      <c r="D16" s="40">
        <v>500.0</v>
      </c>
      <c r="E16" s="28">
        <f t="shared" ref="E16:E17" si="8">ROUND(D16*$D$2,0)</f>
        <v>135</v>
      </c>
      <c r="F16" s="43"/>
      <c r="G16" s="43"/>
    </row>
    <row r="17">
      <c r="B17" s="56" t="s">
        <v>57</v>
      </c>
      <c r="C17" s="25">
        <f t="shared" si="7"/>
        <v>13510</v>
      </c>
      <c r="D17" s="40">
        <v>1000.0</v>
      </c>
      <c r="E17" s="28">
        <f t="shared" si="8"/>
        <v>270</v>
      </c>
      <c r="F17" s="43"/>
      <c r="G17" s="43"/>
    </row>
    <row r="18">
      <c r="A18" s="20" t="s">
        <v>21</v>
      </c>
      <c r="B18" s="21">
        <f>SUM(D16:D17)</f>
        <v>1500</v>
      </c>
      <c r="C18" s="43"/>
      <c r="D18" s="43"/>
      <c r="E18" s="43"/>
      <c r="F18" s="43"/>
      <c r="G18" s="43"/>
    </row>
    <row r="19">
      <c r="A19" s="43"/>
      <c r="B19" s="43"/>
      <c r="C19" s="43"/>
      <c r="D19" s="43"/>
      <c r="E19" s="43"/>
      <c r="F19" s="43"/>
      <c r="G19" s="43"/>
    </row>
    <row r="20" ht="21.0" customHeight="1">
      <c r="A20" s="43"/>
      <c r="B20" s="43"/>
      <c r="C20" s="65" t="s">
        <v>64</v>
      </c>
      <c r="F20" s="43"/>
      <c r="G20" s="43"/>
    </row>
    <row r="21" ht="25.5" customHeight="1">
      <c r="A21" s="43"/>
      <c r="B21" s="43"/>
      <c r="C21" s="52">
        <f t="shared" ref="C21:E21" si="9">(SUM(C3:C17))</f>
        <v>102062</v>
      </c>
      <c r="D21" s="59">
        <f t="shared" si="9"/>
        <v>7554</v>
      </c>
      <c r="E21" s="73">
        <f t="shared" si="9"/>
        <v>2045</v>
      </c>
      <c r="F21" s="43"/>
      <c r="G21" s="43"/>
    </row>
    <row r="22">
      <c r="A22" s="43"/>
      <c r="B22" s="43"/>
      <c r="C22" s="43"/>
      <c r="D22" s="43"/>
      <c r="E22" s="43"/>
      <c r="F22" s="43"/>
      <c r="G22" s="43"/>
    </row>
    <row r="23">
      <c r="A23" s="43"/>
      <c r="B23" s="43"/>
      <c r="C23" s="65" t="s">
        <v>70</v>
      </c>
      <c r="F23" s="43"/>
      <c r="G23" s="43"/>
    </row>
    <row r="24" ht="24.0" customHeight="1">
      <c r="A24" s="43"/>
      <c r="B24" s="43"/>
      <c r="C24" s="57">
        <f>ROUND(D24*$C$2,0)</f>
        <v>56742</v>
      </c>
      <c r="D24" s="59">
        <f>B15</f>
        <v>4200</v>
      </c>
      <c r="E24" s="73">
        <f>ROUND(D24*$D$2,0)</f>
        <v>1134</v>
      </c>
      <c r="F24" s="43"/>
      <c r="G24" s="43"/>
    </row>
    <row r="25">
      <c r="A25" s="43"/>
      <c r="B25" s="43"/>
      <c r="C25" s="43"/>
      <c r="D25" s="43"/>
      <c r="E25" s="43"/>
      <c r="F25" s="43"/>
      <c r="G25" s="43"/>
    </row>
    <row r="26">
      <c r="A26" s="43"/>
      <c r="B26" s="43"/>
      <c r="C26" s="65" t="s">
        <v>70</v>
      </c>
      <c r="F26" s="43"/>
      <c r="G26" s="43"/>
    </row>
    <row r="27">
      <c r="A27" s="43"/>
      <c r="B27" s="43"/>
      <c r="C27" s="57">
        <f>ROUND(D27*$C$2,0)</f>
        <v>101325</v>
      </c>
      <c r="D27" s="59">
        <f>B15+3300</f>
        <v>7500</v>
      </c>
      <c r="E27" s="73">
        <f>ROUND(D27*$D$2,0)</f>
        <v>2025</v>
      </c>
      <c r="F27" s="43"/>
    </row>
    <row r="30">
      <c r="A30" s="89" t="s">
        <v>79</v>
      </c>
      <c r="B30" s="90"/>
      <c r="C30" s="90"/>
      <c r="D30" s="90"/>
      <c r="E30" s="90"/>
      <c r="F30" s="90"/>
      <c r="G30" s="91"/>
    </row>
    <row r="31">
      <c r="A31" s="92" t="s">
        <v>81</v>
      </c>
      <c r="B31" s="90"/>
      <c r="C31" s="90"/>
      <c r="D31" s="90"/>
      <c r="E31" s="90"/>
      <c r="F31" s="90"/>
      <c r="G31" s="91"/>
    </row>
    <row r="32">
      <c r="A32" s="93"/>
      <c r="B32" s="93"/>
      <c r="C32" s="93"/>
      <c r="D32" s="93"/>
      <c r="E32" s="93"/>
      <c r="F32" s="93"/>
      <c r="G32" s="93"/>
    </row>
    <row r="33">
      <c r="A33" s="94" t="s">
        <v>82</v>
      </c>
      <c r="B33" s="91"/>
      <c r="C33" s="95" t="s">
        <v>83</v>
      </c>
      <c r="D33" s="90"/>
      <c r="E33" s="90"/>
      <c r="F33" s="90"/>
      <c r="G33" s="91"/>
    </row>
    <row r="34">
      <c r="A34" s="93"/>
      <c r="B34" s="92" t="s">
        <v>84</v>
      </c>
      <c r="C34" s="96"/>
      <c r="D34" s="97"/>
      <c r="E34" s="98" t="s">
        <v>89</v>
      </c>
      <c r="F34" s="93"/>
      <c r="G34" s="93"/>
    </row>
    <row r="35">
      <c r="A35" s="93"/>
      <c r="B35" s="92" t="s">
        <v>90</v>
      </c>
      <c r="C35" s="96"/>
      <c r="D35" s="97"/>
      <c r="E35" s="98" t="s">
        <v>91</v>
      </c>
      <c r="F35" s="93"/>
      <c r="G35" s="93"/>
    </row>
    <row r="36">
      <c r="A36" s="93"/>
      <c r="B36" s="99"/>
      <c r="C36" s="96"/>
      <c r="D36" s="93"/>
      <c r="E36" s="98" t="s">
        <v>92</v>
      </c>
      <c r="F36" s="93"/>
      <c r="G36" s="93"/>
    </row>
    <row r="37">
      <c r="A37" s="93"/>
      <c r="B37" s="99"/>
      <c r="C37" s="96"/>
      <c r="D37" s="93"/>
      <c r="E37" s="93"/>
      <c r="F37" s="93"/>
      <c r="G37" s="93"/>
    </row>
    <row r="38">
      <c r="A38" s="93"/>
      <c r="B38" s="99"/>
      <c r="C38" s="96"/>
      <c r="D38" s="97"/>
      <c r="E38" s="93"/>
      <c r="F38" s="93"/>
      <c r="G38" s="93"/>
    </row>
    <row r="39">
      <c r="A39" s="93"/>
      <c r="B39" s="99"/>
      <c r="C39" s="96"/>
      <c r="D39" s="100"/>
      <c r="E39" s="98"/>
      <c r="F39" s="93"/>
      <c r="G39" s="93"/>
    </row>
    <row r="40">
      <c r="A40" s="93"/>
      <c r="B40" s="99"/>
      <c r="C40" s="96"/>
      <c r="D40" s="93"/>
      <c r="E40" s="93"/>
      <c r="F40" s="93"/>
      <c r="G40" s="93"/>
    </row>
  </sheetData>
  <mergeCells count="14">
    <mergeCell ref="C20:E20"/>
    <mergeCell ref="C23:E23"/>
    <mergeCell ref="C26:E26"/>
    <mergeCell ref="A30:G30"/>
    <mergeCell ref="A31:G31"/>
    <mergeCell ref="A33:B33"/>
    <mergeCell ref="C33:G33"/>
    <mergeCell ref="A3:A4"/>
    <mergeCell ref="F3:F4"/>
    <mergeCell ref="A6:A8"/>
    <mergeCell ref="F6:F7"/>
    <mergeCell ref="A10:A14"/>
    <mergeCell ref="F10:F14"/>
    <mergeCell ref="A16:A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1.43"/>
    <col customWidth="1" min="3" max="3" width="14.43"/>
    <col customWidth="1" min="4" max="4" width="7.71"/>
    <col customWidth="1" min="5" max="5" width="10.29"/>
    <col customWidth="1" min="6" max="6" width="18.43"/>
    <col customWidth="1" min="7" max="7" width="11.29"/>
    <col customWidth="1" min="8" max="8" width="8.71"/>
  </cols>
  <sheetData>
    <row r="1">
      <c r="A1" s="34" t="s">
        <v>24</v>
      </c>
      <c r="B1" s="34" t="s">
        <v>26</v>
      </c>
      <c r="C1" s="34" t="s">
        <v>28</v>
      </c>
      <c r="D1" s="37" t="s">
        <v>29</v>
      </c>
      <c r="E1" s="37" t="s">
        <v>30</v>
      </c>
      <c r="F1" s="34" t="s">
        <v>31</v>
      </c>
      <c r="G1" s="34" t="s">
        <v>32</v>
      </c>
    </row>
    <row r="2">
      <c r="A2" s="38">
        <v>165.0</v>
      </c>
      <c r="B2" s="38">
        <v>0.024</v>
      </c>
      <c r="C2" s="44">
        <f t="shared" ref="C2:C3" si="1">(E2*A2)/100</f>
        <v>825</v>
      </c>
      <c r="D2" s="45" t="s">
        <v>37</v>
      </c>
      <c r="E2" s="46">
        <v>500.0</v>
      </c>
      <c r="F2" s="48">
        <v>15.0</v>
      </c>
      <c r="G2" s="34" t="s">
        <v>40</v>
      </c>
    </row>
    <row r="3">
      <c r="A3" s="38">
        <v>206.0</v>
      </c>
      <c r="B3" s="38">
        <v>0.15</v>
      </c>
      <c r="C3" s="44">
        <f t="shared" si="1"/>
        <v>515</v>
      </c>
      <c r="D3" s="45" t="s">
        <v>37</v>
      </c>
      <c r="E3" s="46">
        <v>250.0</v>
      </c>
      <c r="F3" s="48">
        <v>30.0</v>
      </c>
      <c r="G3" s="34" t="s">
        <v>44</v>
      </c>
    </row>
    <row r="4">
      <c r="A4" s="38">
        <v>70.0</v>
      </c>
      <c r="B4" s="38">
        <v>2.0</v>
      </c>
      <c r="C4" s="44">
        <f>E4*A4</f>
        <v>1470</v>
      </c>
      <c r="D4" s="45" t="s">
        <v>46</v>
      </c>
      <c r="E4" s="46">
        <v>21.0</v>
      </c>
      <c r="F4" s="55">
        <f t="shared" ref="F4:F13" si="2">E4*B4</f>
        <v>42</v>
      </c>
      <c r="G4" s="34" t="s">
        <v>50</v>
      </c>
    </row>
    <row r="5">
      <c r="A5" s="38">
        <v>77.0</v>
      </c>
      <c r="B5" s="38">
        <v>0.0045</v>
      </c>
      <c r="C5" s="44">
        <f t="shared" ref="C5:C11" si="3">(E5*A5)/100</f>
        <v>770</v>
      </c>
      <c r="D5" s="45" t="s">
        <v>37</v>
      </c>
      <c r="E5" s="58">
        <v>1000.0</v>
      </c>
      <c r="F5" s="55">
        <f t="shared" si="2"/>
        <v>4.5</v>
      </c>
      <c r="G5" s="34" t="s">
        <v>52</v>
      </c>
    </row>
    <row r="6">
      <c r="A6" s="38">
        <v>18.0</v>
      </c>
      <c r="B6" s="38">
        <v>0.006</v>
      </c>
      <c r="C6" s="44">
        <f t="shared" si="3"/>
        <v>180</v>
      </c>
      <c r="D6" s="45" t="s">
        <v>37</v>
      </c>
      <c r="E6" s="58">
        <v>1000.0</v>
      </c>
      <c r="F6" s="55">
        <f t="shared" si="2"/>
        <v>6</v>
      </c>
      <c r="G6" s="34" t="s">
        <v>55</v>
      </c>
    </row>
    <row r="7">
      <c r="A7" s="38">
        <v>40.0</v>
      </c>
      <c r="B7" s="38">
        <v>0.005</v>
      </c>
      <c r="C7" s="44">
        <f t="shared" si="3"/>
        <v>200</v>
      </c>
      <c r="D7" s="45" t="s">
        <v>37</v>
      </c>
      <c r="E7" s="46">
        <v>500.0</v>
      </c>
      <c r="F7" s="55">
        <f t="shared" si="2"/>
        <v>2.5</v>
      </c>
      <c r="G7" s="34" t="s">
        <v>56</v>
      </c>
    </row>
    <row r="8">
      <c r="A8" s="38">
        <v>340.0</v>
      </c>
      <c r="B8" s="38">
        <v>0.0065</v>
      </c>
      <c r="C8" s="44">
        <f t="shared" si="3"/>
        <v>3400</v>
      </c>
      <c r="D8" s="45" t="s">
        <v>37</v>
      </c>
      <c r="E8" s="58">
        <v>1000.0</v>
      </c>
      <c r="F8" s="55">
        <f t="shared" si="2"/>
        <v>6.5</v>
      </c>
      <c r="G8" s="34" t="s">
        <v>58</v>
      </c>
    </row>
    <row r="9">
      <c r="A9" s="38">
        <v>130.0</v>
      </c>
      <c r="B9" s="38">
        <v>0.0085</v>
      </c>
      <c r="C9" s="44">
        <f t="shared" si="3"/>
        <v>1300</v>
      </c>
      <c r="D9" s="45" t="s">
        <v>37</v>
      </c>
      <c r="E9" s="58">
        <v>1000.0</v>
      </c>
      <c r="F9" s="55">
        <f t="shared" si="2"/>
        <v>8.5</v>
      </c>
      <c r="G9" s="34" t="s">
        <v>60</v>
      </c>
    </row>
    <row r="10">
      <c r="A10" s="38">
        <v>160.0</v>
      </c>
      <c r="B10" s="38">
        <v>0.0065</v>
      </c>
      <c r="C10" s="44">
        <f t="shared" si="3"/>
        <v>1600</v>
      </c>
      <c r="D10" s="45" t="s">
        <v>37</v>
      </c>
      <c r="E10" s="58">
        <v>1000.0</v>
      </c>
      <c r="F10" s="55">
        <f t="shared" si="2"/>
        <v>6.5</v>
      </c>
      <c r="G10" s="34" t="s">
        <v>62</v>
      </c>
    </row>
    <row r="11">
      <c r="A11" s="38">
        <v>350.0</v>
      </c>
      <c r="B11" s="38">
        <v>0.02</v>
      </c>
      <c r="C11" s="44">
        <f t="shared" si="3"/>
        <v>1750</v>
      </c>
      <c r="D11" s="45" t="s">
        <v>37</v>
      </c>
      <c r="E11" s="58">
        <v>500.0</v>
      </c>
      <c r="F11" s="55">
        <f t="shared" si="2"/>
        <v>10</v>
      </c>
      <c r="G11" s="34" t="s">
        <v>63</v>
      </c>
    </row>
    <row r="12">
      <c r="A12" s="38">
        <v>80.0</v>
      </c>
      <c r="B12" s="38">
        <v>0.25</v>
      </c>
      <c r="C12" s="44">
        <f>E12*A12</f>
        <v>1680</v>
      </c>
      <c r="D12" s="45" t="s">
        <v>46</v>
      </c>
      <c r="E12" s="46">
        <v>21.0</v>
      </c>
      <c r="F12" s="55">
        <f t="shared" si="2"/>
        <v>5.25</v>
      </c>
      <c r="G12" s="34" t="s">
        <v>66</v>
      </c>
    </row>
    <row r="13">
      <c r="A13" s="38">
        <v>795.0</v>
      </c>
      <c r="B13" s="38">
        <v>0.12</v>
      </c>
      <c r="C13" s="44">
        <f>(E13*A13)/100</f>
        <v>993.75</v>
      </c>
      <c r="D13" s="45" t="s">
        <v>67</v>
      </c>
      <c r="E13" s="58">
        <v>125.0</v>
      </c>
      <c r="F13" s="55">
        <f t="shared" si="2"/>
        <v>15</v>
      </c>
      <c r="G13" s="34" t="s">
        <v>68</v>
      </c>
    </row>
    <row r="14">
      <c r="A14" s="74"/>
      <c r="B14" s="74"/>
      <c r="C14" s="79">
        <f>SUM(C2:C13)</f>
        <v>14683.75</v>
      </c>
      <c r="D14" s="80"/>
      <c r="E14" s="81"/>
      <c r="F14" s="79">
        <f>SUM(F2:F13)</f>
        <v>151.75</v>
      </c>
    </row>
    <row r="15">
      <c r="A15" s="74"/>
      <c r="B15" s="74"/>
      <c r="C15" s="82">
        <f>C14/7</f>
        <v>2097.678571</v>
      </c>
      <c r="D15" s="80"/>
      <c r="E15" s="74"/>
      <c r="F15" s="74"/>
    </row>
    <row r="16">
      <c r="A16" s="74"/>
      <c r="B16" s="74"/>
      <c r="C16" s="74"/>
      <c r="D16" s="80"/>
      <c r="E16" s="74"/>
      <c r="F16" s="82">
        <v>50.0</v>
      </c>
      <c r="G16" s="77" t="s">
        <v>72</v>
      </c>
    </row>
    <row r="17">
      <c r="A17" s="74"/>
      <c r="B17" s="74"/>
      <c r="C17" s="74"/>
      <c r="D17" s="80"/>
      <c r="E17" s="74"/>
      <c r="F17" s="83">
        <v>50.0</v>
      </c>
      <c r="G17" s="77" t="s">
        <v>73</v>
      </c>
    </row>
    <row r="18">
      <c r="A18" s="74"/>
      <c r="B18" s="74"/>
      <c r="C18" s="74"/>
      <c r="D18" s="80"/>
      <c r="E18" s="74"/>
      <c r="G18" s="77" t="s">
        <v>74</v>
      </c>
    </row>
    <row r="19">
      <c r="A19" s="74"/>
      <c r="B19" s="74"/>
      <c r="C19" s="74"/>
      <c r="D19" s="80"/>
      <c r="E19" s="74"/>
      <c r="G19" s="84" t="s">
        <v>75</v>
      </c>
    </row>
    <row r="20">
      <c r="A20" s="74"/>
      <c r="B20" s="74"/>
      <c r="C20" s="74"/>
      <c r="D20" s="80"/>
      <c r="E20" s="74"/>
      <c r="F20" s="82">
        <v>50.0</v>
      </c>
      <c r="G20" s="77" t="s">
        <v>77</v>
      </c>
    </row>
    <row r="21" ht="15.75" customHeight="1"/>
    <row r="22" ht="15.75" customHeight="1"/>
    <row r="23" ht="15.75" customHeight="1">
      <c r="F23" s="88">
        <f>(F14*4)+F16+F17+F20</f>
        <v>757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7:F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6" max="6" width="20.29"/>
  </cols>
  <sheetData>
    <row r="1">
      <c r="A1" s="33" t="s">
        <v>23</v>
      </c>
      <c r="B1" s="36" t="s">
        <v>0</v>
      </c>
      <c r="C1" s="2" t="s">
        <v>2</v>
      </c>
      <c r="D1" s="3" t="s">
        <v>4</v>
      </c>
      <c r="E1" s="4" t="s">
        <v>5</v>
      </c>
      <c r="F1" s="36" t="s">
        <v>1</v>
      </c>
      <c r="G1" s="39" t="s">
        <v>33</v>
      </c>
    </row>
    <row r="2">
      <c r="A2" s="41">
        <v>2400.0</v>
      </c>
      <c r="C2" s="6">
        <v>12.9</v>
      </c>
      <c r="D2" s="7">
        <v>0.27</v>
      </c>
      <c r="E2" s="8">
        <v>45.0</v>
      </c>
      <c r="G2" s="5"/>
    </row>
    <row r="3">
      <c r="A3" s="42"/>
      <c r="B3" s="42"/>
      <c r="C3" s="47">
        <f>ROUND(E3*$E$2,0)</f>
        <v>4500</v>
      </c>
      <c r="D3" s="49">
        <f>ROUND(E3/$D$2,0)</f>
        <v>370</v>
      </c>
      <c r="E3" s="50">
        <v>100.0</v>
      </c>
      <c r="F3" s="51" t="s">
        <v>43</v>
      </c>
      <c r="G3" s="42"/>
    </row>
    <row r="4">
      <c r="A4" s="42"/>
      <c r="B4" s="42"/>
      <c r="C4" s="52">
        <v>2500.0</v>
      </c>
      <c r="D4" s="49">
        <f t="shared" ref="D4:D5" si="1">ROUND(C4/$C$2,0)</f>
        <v>194</v>
      </c>
      <c r="E4" s="53">
        <f t="shared" ref="E4:E5" si="2">ROUND(C4/$E$2,0)</f>
        <v>56</v>
      </c>
      <c r="F4" s="51" t="s">
        <v>47</v>
      </c>
      <c r="G4" s="42"/>
    </row>
    <row r="5">
      <c r="A5" s="42"/>
      <c r="B5" s="42"/>
      <c r="C5" s="52">
        <v>2500.0</v>
      </c>
      <c r="D5" s="49">
        <f t="shared" si="1"/>
        <v>194</v>
      </c>
      <c r="E5" s="53">
        <f t="shared" si="2"/>
        <v>56</v>
      </c>
      <c r="F5" s="51" t="s">
        <v>51</v>
      </c>
      <c r="G5" s="42"/>
    </row>
    <row r="6">
      <c r="A6" s="42"/>
      <c r="B6" s="42"/>
      <c r="C6" s="57">
        <f>ROUND(D6*$C$2,0)</f>
        <v>6450</v>
      </c>
      <c r="D6" s="59">
        <v>500.0</v>
      </c>
      <c r="E6" s="53">
        <f>ROUND(D6*D2,0)</f>
        <v>135</v>
      </c>
      <c r="F6" s="51" t="s">
        <v>54</v>
      </c>
      <c r="G6" s="42"/>
    </row>
    <row r="7">
      <c r="A7" s="42"/>
      <c r="B7" s="42"/>
      <c r="C7" s="60"/>
      <c r="D7" s="61"/>
      <c r="E7" s="62"/>
      <c r="F7" s="42"/>
      <c r="G7" s="42"/>
    </row>
    <row r="8">
      <c r="A8" s="63">
        <v>3700.0</v>
      </c>
      <c r="B8" s="42"/>
      <c r="C8" s="60">
        <f>ROUND(D8*$C$2,0)</f>
        <v>0</v>
      </c>
      <c r="D8" s="61"/>
      <c r="E8" s="62">
        <f>ROUND(D8*D2,0)</f>
        <v>0</v>
      </c>
      <c r="F8" s="33" t="s">
        <v>59</v>
      </c>
      <c r="G8" s="42"/>
    </row>
    <row r="9">
      <c r="A9" s="63">
        <v>5500.0</v>
      </c>
      <c r="B9" s="42"/>
      <c r="C9" s="64"/>
      <c r="G9" s="42"/>
    </row>
    <row r="10">
      <c r="A10" s="42"/>
      <c r="B10" s="42"/>
      <c r="C10" s="66">
        <f t="shared" ref="C10:E10" si="3">SUM(C3:C8)</f>
        <v>15950</v>
      </c>
      <c r="D10" s="67">
        <f t="shared" si="3"/>
        <v>1258</v>
      </c>
      <c r="E10" s="68">
        <f t="shared" si="3"/>
        <v>347</v>
      </c>
      <c r="F10" s="70" t="s">
        <v>65</v>
      </c>
      <c r="G10" s="42"/>
    </row>
    <row r="11">
      <c r="A11" s="42"/>
      <c r="B11" s="42"/>
      <c r="C11" s="5">
        <f>ROUND(((C10/C2)-A2)*C2,0)</f>
        <v>-15010</v>
      </c>
      <c r="D11" s="76">
        <f>D10-A2</f>
        <v>-1142</v>
      </c>
      <c r="E11" s="76">
        <f>ROUND(((E10/D2)-A2)*D2,0)</f>
        <v>-301</v>
      </c>
      <c r="F11" s="42"/>
      <c r="G11" s="42"/>
    </row>
    <row r="12">
      <c r="A12" s="42"/>
      <c r="B12" s="42"/>
      <c r="C12" s="42"/>
      <c r="D12" s="42"/>
      <c r="E12" s="42"/>
      <c r="F12" s="42"/>
      <c r="G12" s="42"/>
    </row>
    <row r="13">
      <c r="A13" s="42"/>
      <c r="B13" s="42"/>
      <c r="C13" s="42"/>
      <c r="D13" s="42"/>
      <c r="E13" s="42"/>
      <c r="F13" s="42"/>
      <c r="G13" s="42"/>
    </row>
    <row r="14">
      <c r="A14" s="42"/>
      <c r="B14" s="42"/>
      <c r="C14" s="42"/>
      <c r="D14" s="42"/>
      <c r="E14" s="42"/>
      <c r="F14" s="42"/>
      <c r="G14" s="42"/>
    </row>
    <row r="15">
      <c r="A15" s="42"/>
      <c r="B15" s="42"/>
      <c r="C15" s="42"/>
      <c r="D15" s="42"/>
      <c r="E15" s="42"/>
      <c r="F15" s="42"/>
      <c r="G15" s="42"/>
    </row>
    <row r="16">
      <c r="A16" s="42"/>
      <c r="B16" s="42"/>
      <c r="C16" s="42"/>
      <c r="D16" s="42"/>
      <c r="E16" s="42"/>
      <c r="F16" s="42"/>
      <c r="G16" s="42"/>
    </row>
    <row r="17">
      <c r="A17" s="42"/>
      <c r="B17" s="42"/>
      <c r="C17" s="86"/>
      <c r="D17" s="42"/>
      <c r="E17" s="42"/>
      <c r="F17" s="86"/>
      <c r="G17" s="42"/>
    </row>
    <row r="18">
      <c r="A18" s="42"/>
      <c r="B18" s="86">
        <v>200.0</v>
      </c>
      <c r="C18" s="86" t="s">
        <v>54</v>
      </c>
      <c r="D18" s="42"/>
      <c r="E18" s="42"/>
      <c r="F18" s="86">
        <v>2500.0</v>
      </c>
      <c r="G18" s="42"/>
    </row>
    <row r="19">
      <c r="A19" s="42"/>
      <c r="B19" s="42"/>
      <c r="C19" s="86" t="s">
        <v>80</v>
      </c>
      <c r="D19" s="42"/>
      <c r="E19" s="42"/>
      <c r="F19" s="86">
        <v>5000.0</v>
      </c>
      <c r="G19" s="42"/>
    </row>
    <row r="20">
      <c r="A20" s="42"/>
      <c r="B20" s="42"/>
      <c r="C20" s="42"/>
      <c r="D20" s="42"/>
      <c r="E20" s="42"/>
      <c r="F20" s="42"/>
      <c r="G20" s="42"/>
    </row>
    <row r="21">
      <c r="A21" s="42"/>
      <c r="B21" s="42"/>
      <c r="C21" s="42"/>
      <c r="D21" s="42"/>
      <c r="E21" s="42"/>
      <c r="F21" s="42"/>
      <c r="G21" s="42"/>
    </row>
    <row r="22">
      <c r="A22" s="42"/>
      <c r="B22" s="42"/>
      <c r="C22" s="42"/>
      <c r="D22" s="42"/>
      <c r="E22" s="42"/>
      <c r="F22" s="42"/>
      <c r="G22" s="42"/>
    </row>
    <row r="23">
      <c r="A23" s="42"/>
      <c r="B23" s="42"/>
      <c r="C23" s="42"/>
      <c r="D23" s="42"/>
      <c r="E23" s="42"/>
      <c r="F23" s="42"/>
      <c r="G23" s="42"/>
    </row>
  </sheetData>
  <mergeCells count="3">
    <mergeCell ref="B1:B2"/>
    <mergeCell ref="F1:F2"/>
    <mergeCell ref="C9:F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8">
      <c r="G8" s="77" t="s">
        <v>85</v>
      </c>
    </row>
    <row r="9">
      <c r="G9" s="77" t="s">
        <v>86</v>
      </c>
    </row>
    <row r="10">
      <c r="G10" s="77" t="s">
        <v>87</v>
      </c>
    </row>
    <row r="11">
      <c r="G11" s="77" t="s">
        <v>88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2025-05-24T12:37:09Z</dcterms:created>
  <dc:creator>openpyxl</dc:creator>
</cp:coreProperties>
</file>